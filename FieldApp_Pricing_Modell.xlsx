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Szenarien" sheetId="2" state="visible" r:id="rId4"/>
    <sheet name="Break-Even" sheetId="3" state="visible" r:id="rId5"/>
    <sheet name="12-Monate" sheetId="4" state="visible" r:id="rId6"/>
    <sheet name="Prognose" sheetId="5" state="visible" r:id="rId7"/>
    <sheet name="Churn-Sensitivitä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<sst xmlns="http://schemas.openxmlformats.org/spreadsheetml/2006/main" count="152" uniqueCount="145">
  <si>
    <t xml:space="preserve">FieldApp SHK – Pricing-Modell</t>
  </si>
  <si>
    <t xml:space="preserve">Annahmen &amp; Eingaben</t>
  </si>
  <si>
    <t xml:space="preserve">PRICING</t>
  </si>
  <si>
    <t xml:space="preserve">Preis pro User / Monat</t>
  </si>
  <si>
    <t xml:space="preserve">Empfehlung: €15–25 (Marktstandard SHK-Software)</t>
  </si>
  <si>
    <t xml:space="preserve">Mindest-User pro Account</t>
  </si>
  <si>
    <t xml:space="preserve">Kein 1-User-Account – schützt Mindestmarge</t>
  </si>
  <si>
    <t xml:space="preserve">Mindest-MRR pro Account</t>
  </si>
  <si>
    <t xml:space="preserve">Formel: Preis × Mindest-User</t>
  </si>
  <si>
    <t xml:space="preserve">Rabatt Jahresabo</t>
  </si>
  <si>
    <t xml:space="preserve">Anreiz für Vorauszahlung – verbessert Cashflow</t>
  </si>
  <si>
    <t xml:space="preserve">LAUFENDE KOSTEN (MONATLICH)</t>
  </si>
  <si>
    <t xml:space="preserve">Infrastruktur fix (Supabase Pro, Domain, etc.)</t>
  </si>
  <si>
    <t xml:space="preserve">Supabase Pro $25 + Hosting + Domain ≈ €60/Monat</t>
  </si>
  <si>
    <t xml:space="preserve">Zahlungsabwicklung (Stripe-Gebühr %)</t>
  </si>
  <si>
    <t xml:space="preserve">1,4 % + 0,25 € pro Transaktion (EU-Karten)</t>
  </si>
  <si>
    <t xml:space="preserve">Stripe Fixgebühr je Transaktion</t>
  </si>
  <si>
    <t xml:space="preserve">Pro Abbuchung – relevant bei wenigen Usern</t>
  </si>
  <si>
    <t xml:space="preserve">Support-Aufwand je Account (Schätzung)</t>
  </si>
  <si>
    <t xml:space="preserve">Erfahrungswert: ~20 Min/Monat à €15/h</t>
  </si>
  <si>
    <t xml:space="preserve">Entwicklung / Wartung (Ø monatlich)</t>
  </si>
  <si>
    <t xml:space="preserve">Bug-Fixes, Updates, neue Features</t>
  </si>
  <si>
    <t xml:space="preserve">KUNDENSEGMENTE (Referenzwerte)</t>
  </si>
  <si>
    <t xml:space="preserve">Segment</t>
  </si>
  <si>
    <t xml:space="preserve">Ø User</t>
  </si>
  <si>
    <t xml:space="preserve">Ø MRR/Kd.</t>
  </si>
  <si>
    <t xml:space="preserve">Klein (1–5 Monteure)</t>
  </si>
  <si>
    <t xml:space="preserve">Mittel (5–20 Monteure)</t>
  </si>
  <si>
    <t xml:space="preserve">Umsatz-Szenarien</t>
  </si>
  <si>
    <t xml:space="preserve">Pessimistisch</t>
  </si>
  <si>
    <t xml:space="preserve">Realistisch</t>
  </si>
  <si>
    <t xml:space="preserve">Optimistisch</t>
  </si>
  <si>
    <t xml:space="preserve">EINGABEN</t>
  </si>
  <si>
    <t xml:space="preserve">Anzahl Kunden (Accounts)</t>
  </si>
  <si>
    <t xml:space="preserve">Ø User je Kunde</t>
  </si>
  <si>
    <t xml:space="preserve">Anteil Jahresabo (%)</t>
  </si>
  <si>
    <t xml:space="preserve">MONATLICHE KENNZAHLEN</t>
  </si>
  <si>
    <t xml:space="preserve">Gesamt-User</t>
  </si>
  <si>
    <t xml:space="preserve">MRR (Monatsumsatz)</t>
  </si>
  <si>
    <t xml:space="preserve">ARR (Jahresumsatz)</t>
  </si>
  <si>
    <t xml:space="preserve">Infra-Kosten fix</t>
  </si>
  <si>
    <t xml:space="preserve">Stripe-Kosten</t>
  </si>
  <si>
    <t xml:space="preserve">Support-Kosten</t>
  </si>
  <si>
    <t xml:space="preserve">Entwicklungskosten</t>
  </si>
  <si>
    <t xml:space="preserve">Gesamtkosten</t>
  </si>
  <si>
    <t xml:space="preserve">Rohgewinn (EBIT)</t>
  </si>
  <si>
    <t xml:space="preserve">Marge (%)</t>
  </si>
  <si>
    <t xml:space="preserve">Break-Even Analyse</t>
  </si>
  <si>
    <t xml:space="preserve">Wie viele Kunden / User brauchst du, um profitabel zu sein?</t>
  </si>
  <si>
    <t xml:space="preserve">FIXKOSTEN / MONAT</t>
  </si>
  <si>
    <t xml:space="preserve">Infrastruktur</t>
  </si>
  <si>
    <t xml:space="preserve">Entwicklung</t>
  </si>
  <si>
    <t xml:space="preserve">Summe Fixkosten</t>
  </si>
  <si>
    <t xml:space="preserve">VARIABLE KOSTEN JE ACCOUNT</t>
  </si>
  <si>
    <t xml:space="preserve">Stripe-Kosten (Ø je Account)</t>
  </si>
  <si>
    <t xml:space="preserve">Support je Account</t>
  </si>
  <si>
    <t xml:space="preserve">Summe variable Kosten / Account</t>
  </si>
  <si>
    <t xml:space="preserve">BREAK-EVEN ERGEBNIS</t>
  </si>
  <si>
    <t xml:space="preserve">MRR je Account (Ø, Mindest-User)</t>
  </si>
  <si>
    <t xml:space="preserve">Deckungsbeitrag je Account</t>
  </si>
  <si>
    <t xml:space="preserve">Break-Even Accounts (gerundet auf ganze Zahl)</t>
  </si>
  <si>
    <t xml:space="preserve">Break-Even User gesamt</t>
  </si>
  <si>
    <t xml:space="preserve">Break-Even MRR</t>
  </si>
  <si>
    <t xml:space="preserve">12-Monats MRR-Projektion</t>
  </si>
  <si>
    <t xml:space="preserve">WACHSTUMS-ANNAHMEN</t>
  </si>
  <si>
    <t xml:space="preserve">Neue Kunden / Monat (Start)</t>
  </si>
  <si>
    <t xml:space="preserve">Wachstum neue Kunden / Monat</t>
  </si>
  <si>
    <t xml:space="preserve">Churn Rate / Monat</t>
  </si>
  <si>
    <t xml:space="preserve">KENNZAHL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</si>
  <si>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</si>
  <si>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</si>
  <si>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</si>
  <si>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</si>
  <si>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</si>
  <si>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</si>
  <si>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</si>
  <si>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</si>
  <si>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</si>
  <si>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</si>
  <si>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</si>
  <si>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</si>
  <si>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Neue Kunden</t>
  </si>
  <si>
    <t xml:space="preserve">Kunden (kumuliert)</t>
  </si>
  <si>
    <t xml:space="preserve">Churn (Abgänge)</t>
  </si>
  <si>
    <t xml:space="preserve">Aktive Kunden (EoM)</t>
  </si>
  <si>
    <t xml:space="preserve">MRR</t>
  </si>
  <si>
    <t xml:space="preserve">ARR (annualisiert)</t>
  </si>
  <si>
    <t xml:space="preserve">FieldApp SHK – Umsatzprognose (18 Monate)</t>
  </si>
  <si>
    <t xml:space="preserve">ANNAHMEN</t>
  </si>
  <si>
    <t xml:space="preserve">Pre-Launch Monate (kein Umsatz)</t>
  </si>
  <si>
    <t xml:space="preserve">Zeitraum Multi-User-Entwicklung</t>
  </si>
  <si>
    <t xml:space="preserve">Netzwerk-Validierung</t>
  </si>
  <si>
    <t xml:space="preserve">5 % = 1 Kunde mehr alle ~4 Monate</t>
  </si>
  <si>
    <t xml:space="preserve">Churn Rate / Monat (Base Case)</t>
  </si>
  <si>
    <t xml:space="preserve">2 % Basis; Sensitivität auf Sheet 2</t>
  </si>
  <si>
    <t xml:space="preserve">MRR-Meilenstein 1</t>
  </si>
  <si>
    <t xml:space="preserve">Ziel: €1.000 MRR</t>
  </si>
  <si>
    <t xml:space="preserve">MRR-Meilenstein 2</t>
  </si>
  <si>
    <t xml:space="preserve">Ziel: €5.000 MRR</t>
  </si>
  <si>
    <t xml:space="preserve">Ziel</t>
  </si>
  <si>
    <t xml:space="preserve">Hinweis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</si>
  <si>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</si>
  <si>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</si>
  <si>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</si>
  <si>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</si>
  <si>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</si>
  <si>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</si>
  <si>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</si>
  <si>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</si>
  <si>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</si>
  <si>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</si>
  <si>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</si>
  <si>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</si>
  <si>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</si>
  <si>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</si>
  <si>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</si>
  <si>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</si>
  <si>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</si>
  <si>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</si>
  <si>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Phase</t>
  </si>
  <si>
    <t xml:space="preserve">Pre-Launch / Live</t>
  </si>
  <si>
    <t xml:space="preserve">Fixkosten</t>
  </si>
  <si>
    <t xml:space="preserve">Variable Kosten</t>
  </si>
  <si>
    <t xml:space="preserve">Gewinn / Verlust</t>
  </si>
  <si>
    <t xml:space="preserve">Kumulierter Gewinn</t>
  </si>
  <si>
    <t xml:space="preserve">Meilenstein erreicht?</t>
  </si>
  <si>
    <t xml:space="preserve">* Grau hinterlegte Monate = Pre-Launch (Entwicklung, kein Umsatz). Fixkosten laufen trotzdem.</t>
  </si>
  <si>
    <t xml:space="preserve">Churn-Sensitivitätsanalyse</t>
  </si>
  <si>
    <t xml:space="preserve">Wie verändert sich MRR in Monat 12 bei unterschiedlichem Churn und Wachstum?</t>
  </si>
  <si>
    <t xml:space="preserve">Churn-Rate (Zeilen) × Neue Kunden/Monat Start (Spalten) → MRR Monat 12 (nach Pre-Launch)</t>
  </si>
  <si>
    <t xml:space="preserve">Churn / Neue Kd.</t>
  </si>
  <si>
    <t xml:space="preserve">2 Kunden/Mt.</t>
  </si>
  <si>
    <t xml:space="preserve">3 Kunden/Mt.</t>
  </si>
  <si>
    <t xml:space="preserve">4 Kunden/Mt.</t>
  </si>
  <si>
    <t xml:space="preserve">6 Kunden/Mt.</t>
  </si>
  <si>
    <t xml:space="preserve">8 Kunden/Mt.</t>
  </si>
  <si>
    <t xml:space="preserve">Churn 1% / Mt.</t>
  </si>
  <si>
    <t xml:space="preserve">Churn 2% / Mt.</t>
  </si>
  <si>
    <t xml:space="preserve">Churn 3% / Mt.</t>
  </si>
  <si>
    <t xml:space="preserve">Churn 5% / Mt.</t>
  </si>
  <si>
    <t xml:space="preserve">Churn 8% / Mt.</t>
  </si>
  <si>
    <t xml:space="preserve">Churn 12% / Mt.</t>
  </si>
  <si>
    <t xml:space="preserve">🔴 &lt; €800 MRR   ·   🟠 €800–€2.000   ·   🟢 &gt; €2.000 MRR</t>
  </si>
  <si>
    <t xml:space="preserve">Gelb markierte Zeile = Base Case (2 % Churn, 3 Neue Kunden/Monat aus Prognose-Sheet)</t>
  </si>
  <si>
    <t xml:space="preserve">Hinweis: Alle Werte nach 12 aktiven Monaten (ohne Pre-Launch-Phase). Wachstum neue Kunden: 5 %/Monat.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</si>
</sst>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€&quot;;\(#,##0.00&quot; €)&quot;;\-"/>
    <numFmt numFmtId="166" formatCode="#,##0;\(#,##0\);\-"/>
    <numFmt numFmtId="167" formatCode="0.0%;\-0.0%;\-"/>
    <numFmt numFmtId="168" formatCode="0.0"/>
    <numFmt numFmtId="169" formatCode="#,##0&quot; €&quot;;\(#,##0&quot; €)&quot;;\-"/>
    <numFmt numFmtId="170" formatCode="#,##0;\(#,##0\);\-"/>
    <numFmt numFmtId="171" formatCode="#,##0&quot; €&quot;;\(#,##0&quot; €)&quot;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F39C12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AA"/>
        <bgColor rgb="FF2980B9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5F5E3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2E5EAA"/>
      </patternFill>
    </fill>
    <fill>
      <patternFill patternType="solid">
        <fgColor rgb="FF27AE60"/>
        <bgColor rgb="FF008080"/>
      </patternFill>
    </fill>
    <fill>
      <patternFill patternType="solid">
        <fgColor rgb="FFEEEEEE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3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6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BBBBB"/>
      <rgbColor rgb="FF808080"/>
      <rgbColor rgb="FF9999FF"/>
      <rgbColor rgb="FF993366"/>
      <rgbColor rgb="FFFDEBD0"/>
      <rgbColor rgb="FFEEEEEE"/>
      <rgbColor rgb="FF660066"/>
      <rgbColor rgb="FFFF8080"/>
      <rgbColor rgb="FF2E5E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666666"/>
      <rgbColor rgb="FF969696"/>
      <rgbColor rgb="FF1F3864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7.5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19</v>
      </c>
      <c r="C5" s="5" t="s">
        <v>4</v>
      </c>
    </row>
    <row r="6" customFormat="false" ht="15" hidden="false" customHeight="true" outlineLevel="0" collapsed="false">
      <c r="A6" s="5" t="s">
        <v>5</v>
      </c>
      <c r="B6" s="7" t="n">
        <v>2</v>
      </c>
      <c r="C6" s="5" t="s">
        <v>6</v>
      </c>
    </row>
    <row r="7" customFormat="false" ht="15" hidden="false" customHeight="true" outlineLevel="0" collapsed="false">
      <c r="A7" s="8" t="s">
        <v>7</v>
      </c>
      <c r="B7" s="9" t="n">
        <f aca="false">B5*B6</f>
        <v>38</v>
      </c>
      <c r="C7" s="5" t="s">
        <v>8</v>
      </c>
    </row>
    <row r="8" customFormat="false" ht="15" hidden="false" customHeight="true" outlineLevel="0" collapsed="false">
      <c r="A8" s="5" t="s">
        <v>9</v>
      </c>
      <c r="B8" s="10" t="n">
        <v>0.1</v>
      </c>
      <c r="C8" s="5" t="s">
        <v>10</v>
      </c>
    </row>
    <row r="9" customFormat="false" ht="7.5" hidden="false" customHeight="true" outlineLevel="0" collapsed="false">
      <c r="A9" s="11"/>
      <c r="B9" s="11"/>
      <c r="C9" s="11"/>
    </row>
    <row r="10" customFormat="false" ht="15" hidden="false" customHeight="true" outlineLevel="0" collapsed="false">
      <c r="A10" s="4" t="s">
        <v>11</v>
      </c>
      <c r="B10" s="4"/>
      <c r="C10" s="4"/>
    </row>
    <row r="11" customFormat="false" ht="15" hidden="false" customHeight="true" outlineLevel="0" collapsed="false">
      <c r="A11" s="5" t="s">
        <v>12</v>
      </c>
      <c r="B11" s="6" t="n">
        <v>60</v>
      </c>
      <c r="C11" s="5" t="s">
        <v>13</v>
      </c>
    </row>
    <row r="12" customFormat="false" ht="15" hidden="false" customHeight="true" outlineLevel="0" collapsed="false">
      <c r="A12" s="5" t="s">
        <v>14</v>
      </c>
      <c r="B12" s="10" t="n">
        <v>0.014</v>
      </c>
      <c r="C12" s="5" t="s">
        <v>15</v>
      </c>
    </row>
    <row r="13" customFormat="false" ht="15" hidden="false" customHeight="true" outlineLevel="0" collapsed="false">
      <c r="A13" s="5" t="s">
        <v>16</v>
      </c>
      <c r="B13" s="6" t="n">
        <v>0.25</v>
      </c>
      <c r="C13" s="5" t="s">
        <v>17</v>
      </c>
    </row>
    <row r="14" customFormat="false" ht="15" hidden="false" customHeight="true" outlineLevel="0" collapsed="false">
      <c r="A14" s="5" t="s">
        <v>18</v>
      </c>
      <c r="B14" s="6" t="n">
        <v>5</v>
      </c>
      <c r="C14" s="5" t="s">
        <v>19</v>
      </c>
    </row>
    <row r="15" customFormat="false" ht="15" hidden="false" customHeight="true" outlineLevel="0" collapsed="false">
      <c r="A15" s="5" t="s">
        <v>20</v>
      </c>
      <c r="B15" s="6" t="n">
        <v>400</v>
      </c>
      <c r="C15" s="5" t="s">
        <v>21</v>
      </c>
    </row>
    <row r="16" customFormat="false" ht="7.5" hidden="false" customHeight="true" outlineLevel="0" collapsed="false">
      <c r="A16" s="11"/>
      <c r="B16" s="11"/>
      <c r="C16" s="11"/>
    </row>
    <row r="17" customFormat="false" ht="15" hidden="false" customHeight="true" outlineLevel="0" collapsed="false">
      <c r="A17" s="4" t="s">
        <v>22</v>
      </c>
      <c r="B17" s="4"/>
      <c r="C17" s="4"/>
    </row>
    <row r="18" customFormat="false" ht="15" hidden="false" customHeight="true" outlineLevel="0" collapsed="false">
      <c r="A18" s="12" t="s">
        <v>23</v>
      </c>
      <c r="B18" s="12" t="s">
        <v>24</v>
      </c>
      <c r="C18" s="12" t="s">
        <v>25</v>
      </c>
    </row>
    <row r="19" customFormat="false" ht="15" hidden="false" customHeight="true" outlineLevel="0" collapsed="false">
      <c r="A19" s="5" t="s">
        <v>26</v>
      </c>
      <c r="B19" s="7" t="n">
        <v>3</v>
      </c>
      <c r="C19" s="13" t="n">
        <f aca="false">B5*B19</f>
        <v>57</v>
      </c>
    </row>
    <row r="20" customFormat="false" ht="15" hidden="false" customHeight="true" outlineLevel="0" collapsed="false">
      <c r="A20" s="5" t="s">
        <v>27</v>
      </c>
      <c r="B20" s="7" t="n">
        <v>9</v>
      </c>
      <c r="C20" s="13" t="n">
        <f aca="false">B5*B20</f>
        <v>171</v>
      </c>
    </row>
    <row r="21" customFormat="false" ht="15" hidden="false" customHeight="true" outlineLevel="0" collapsed="false">
      <c r="A21" s="11"/>
      <c r="B21" s="11"/>
      <c r="C21" s="11"/>
    </row>
  </sheetData>
  <mergeCells count="5">
    <mergeCell ref="A1:C1"/>
    <mergeCell ref="A2:C2"/>
    <mergeCell ref="A4:C4"/>
    <mergeCell ref="A10:C10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</cols>
  <sheetData>
    <row r="1" customFormat="false" ht="36" hidden="false" customHeight="true" outlineLevel="0" collapsed="false">
      <c r="A1" s="2" t="s">
        <v>28</v>
      </c>
      <c r="B1" s="2"/>
      <c r="C1" s="2"/>
      <c r="D1" s="2"/>
    </row>
    <row r="2" customFormat="false" ht="15" hidden="false" customHeight="true" outlineLevel="0" collapsed="false">
      <c r="A2" s="11"/>
      <c r="B2" s="14" t="s">
        <v>29</v>
      </c>
      <c r="C2" s="15" t="s">
        <v>30</v>
      </c>
      <c r="D2" s="16" t="s">
        <v>31</v>
      </c>
    </row>
    <row r="3" customFormat="false" ht="15" hidden="false" customHeight="true" outlineLevel="0" collapsed="false">
      <c r="A3" s="17" t="s">
        <v>32</v>
      </c>
      <c r="B3" s="17"/>
      <c r="C3" s="17"/>
      <c r="D3" s="17"/>
    </row>
    <row r="4" customFormat="false" ht="15" hidden="false" customHeight="true" outlineLevel="0" collapsed="false">
      <c r="A4" s="5" t="s">
        <v>33</v>
      </c>
      <c r="B4" s="7" t="n">
        <v>10</v>
      </c>
      <c r="C4" s="7" t="n">
        <v>30</v>
      </c>
      <c r="D4" s="7" t="n">
        <v>75</v>
      </c>
    </row>
    <row r="5" customFormat="false" ht="15" hidden="false" customHeight="true" outlineLevel="0" collapsed="false">
      <c r="A5" s="5" t="s">
        <v>34</v>
      </c>
      <c r="B5" s="18" t="n">
        <v>2.5</v>
      </c>
      <c r="C5" s="18" t="n">
        <v>3.5</v>
      </c>
      <c r="D5" s="18" t="n">
        <v>5</v>
      </c>
    </row>
    <row r="6" customFormat="false" ht="15" hidden="false" customHeight="true" outlineLevel="0" collapsed="false">
      <c r="A6" s="5" t="s">
        <v>35</v>
      </c>
      <c r="B6" s="10" t="n">
        <v>0.1</v>
      </c>
      <c r="C6" s="10" t="n">
        <v>0.25</v>
      </c>
      <c r="D6" s="10" t="n">
        <v>0.4</v>
      </c>
    </row>
    <row r="7" customFormat="false" ht="15" hidden="false" customHeight="true" outlineLevel="0" collapsed="false">
      <c r="A7" s="17" t="s">
        <v>36</v>
      </c>
      <c r="B7" s="17"/>
      <c r="C7" s="17"/>
      <c r="D7" s="17"/>
    </row>
    <row r="8" customFormat="false" ht="15" hidden="false" customHeight="true" outlineLevel="0" collapsed="false">
      <c r="A8" s="5" t="s">
        <v>37</v>
      </c>
      <c r="B8" s="19" t="n">
        <f aca="false">B4*B5</f>
        <v>25</v>
      </c>
      <c r="C8" s="19" t="n">
        <f aca="false">C4*C5</f>
        <v>105</v>
      </c>
      <c r="D8" s="19" t="n">
        <f aca="false">D4*D5</f>
        <v>375</v>
      </c>
    </row>
    <row r="9" customFormat="false" ht="15" hidden="false" customHeight="true" outlineLevel="0" collapsed="false">
      <c r="A9" s="5" t="s">
        <v>38</v>
      </c>
      <c r="B9" s="20" t="n">
        <f aca="false">Annahmen!B5*B8</f>
        <v>475</v>
      </c>
      <c r="C9" s="20" t="n">
        <f aca="false">Annahmen!B5*C8</f>
        <v>1995</v>
      </c>
      <c r="D9" s="20" t="n">
        <f aca="false">Annahmen!B5*D8</f>
        <v>7125</v>
      </c>
    </row>
    <row r="10" customFormat="false" ht="15" hidden="false" customHeight="true" outlineLevel="0" collapsed="false">
      <c r="A10" s="5" t="s">
        <v>39</v>
      </c>
      <c r="B10" s="20" t="n">
        <f aca="false">B9*12</f>
        <v>5700</v>
      </c>
      <c r="C10" s="20" t="n">
        <f aca="false">C9*12</f>
        <v>23940</v>
      </c>
      <c r="D10" s="20" t="n">
        <f aca="false">D9*12</f>
        <v>85500</v>
      </c>
    </row>
    <row r="11" customFormat="false" ht="15" hidden="false" customHeight="true" outlineLevel="0" collapsed="false">
      <c r="A11" s="5" t="s">
        <v>40</v>
      </c>
      <c r="B11" s="20" t="n">
        <f aca="false">Annahmen!B11</f>
        <v>60</v>
      </c>
      <c r="C11" s="20" t="n">
        <f aca="false">Annahmen!B11</f>
        <v>60</v>
      </c>
      <c r="D11" s="20" t="n">
        <f aca="false">Annahmen!B11</f>
        <v>60</v>
      </c>
    </row>
    <row r="12" customFormat="false" ht="15" hidden="false" customHeight="true" outlineLevel="0" collapsed="false">
      <c r="A12" s="5" t="s">
        <v>41</v>
      </c>
      <c r="B12" s="20" t="n">
        <f aca="false">(B9*Annahmen!B12)+(B4*Annahmen!B13)</f>
        <v>9.15</v>
      </c>
      <c r="C12" s="20" t="n">
        <f aca="false">(C9*Annahmen!B12)+(C4*Annahmen!B13)</f>
        <v>35.43</v>
      </c>
      <c r="D12" s="20" t="n">
        <f aca="false">(D9*Annahmen!B12)+(D4*Annahmen!B13)</f>
        <v>118.5</v>
      </c>
    </row>
    <row r="13" customFormat="false" ht="15" hidden="false" customHeight="true" outlineLevel="0" collapsed="false">
      <c r="A13" s="5" t="s">
        <v>42</v>
      </c>
      <c r="B13" s="20" t="n">
        <f aca="false">B4*Annahmen!B14</f>
        <v>50</v>
      </c>
      <c r="C13" s="20" t="n">
        <f aca="false">C4*Annahmen!B14</f>
        <v>150</v>
      </c>
      <c r="D13" s="20" t="n">
        <f aca="false">D4*Annahmen!B14</f>
        <v>375</v>
      </c>
    </row>
    <row r="14" customFormat="false" ht="15" hidden="false" customHeight="true" outlineLevel="0" collapsed="false">
      <c r="A14" s="5" t="s">
        <v>43</v>
      </c>
      <c r="B14" s="20" t="n">
        <f aca="false">Annahmen!B15</f>
        <v>400</v>
      </c>
      <c r="C14" s="20" t="n">
        <f aca="false">Annahmen!B15</f>
        <v>400</v>
      </c>
      <c r="D14" s="20" t="n">
        <f aca="false">Annahmen!B15</f>
        <v>400</v>
      </c>
    </row>
    <row r="15" customFormat="false" ht="15" hidden="false" customHeight="true" outlineLevel="0" collapsed="false">
      <c r="A15" s="8" t="s">
        <v>44</v>
      </c>
      <c r="B15" s="20" t="n">
        <f aca="false">SUM(B11:B14)</f>
        <v>519.15</v>
      </c>
      <c r="C15" s="20" t="n">
        <f aca="false">SUM(C11:C14)</f>
        <v>645.43</v>
      </c>
      <c r="D15" s="20" t="n">
        <f aca="false">SUM(D11:D14)</f>
        <v>953.5</v>
      </c>
    </row>
    <row r="16" customFormat="false" ht="15" hidden="false" customHeight="true" outlineLevel="0" collapsed="false">
      <c r="A16" s="8" t="s">
        <v>45</v>
      </c>
      <c r="B16" s="21" t="n">
        <f aca="false">B9-B15</f>
        <v>-44.15</v>
      </c>
      <c r="C16" s="21" t="n">
        <f aca="false">C9-C15</f>
        <v>1349.57</v>
      </c>
      <c r="D16" s="21" t="n">
        <f aca="false">D9-D15</f>
        <v>6171.5</v>
      </c>
    </row>
    <row r="17" customFormat="false" ht="15" hidden="false" customHeight="true" outlineLevel="0" collapsed="false">
      <c r="A17" s="8" t="s">
        <v>46</v>
      </c>
      <c r="B17" s="22" t="n">
        <f aca="false">IFERROR(B16/B9,0)</f>
        <v>-0.0929473684210526</v>
      </c>
      <c r="C17" s="22" t="n">
        <f aca="false">IFERROR(C16/C9,0)</f>
        <v>0.676476190476191</v>
      </c>
      <c r="D17" s="22" t="n">
        <f aca="false">IFERROR(D16/D9,0)</f>
        <v>0.866175438596491</v>
      </c>
    </row>
  </sheetData>
  <mergeCells count="3">
    <mergeCell ref="A1:D1"/>
    <mergeCell ref="A3:D3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24"/>
  </cols>
  <sheetData>
    <row r="1" customFormat="false" ht="36" hidden="false" customHeight="true" outlineLevel="0" collapsed="false">
      <c r="A1" s="2" t="s">
        <v>47</v>
      </c>
      <c r="B1" s="2"/>
      <c r="C1" s="2"/>
    </row>
    <row r="2" customFormat="false" ht="15" hidden="false" customHeight="true" outlineLevel="0" collapsed="false">
      <c r="A2" s="23" t="s">
        <v>48</v>
      </c>
      <c r="B2" s="23"/>
      <c r="C2" s="23"/>
    </row>
    <row r="4" customFormat="false" ht="15" hidden="false" customHeight="true" outlineLevel="0" collapsed="false">
      <c r="A4" s="17" t="s">
        <v>49</v>
      </c>
      <c r="B4" s="17"/>
      <c r="C4" s="17"/>
    </row>
    <row r="5" customFormat="false" ht="15" hidden="false" customHeight="true" outlineLevel="0" collapsed="false">
      <c r="A5" s="5" t="s">
        <v>50</v>
      </c>
      <c r="B5" s="24" t="n">
        <f aca="false">Annahmen!B11</f>
        <v>60</v>
      </c>
      <c r="C5" s="11"/>
    </row>
    <row r="6" customFormat="false" ht="15" hidden="false" customHeight="true" outlineLevel="0" collapsed="false">
      <c r="A6" s="5" t="s">
        <v>51</v>
      </c>
      <c r="B6" s="24" t="n">
        <f aca="false">Annahmen!B15</f>
        <v>400</v>
      </c>
      <c r="C6" s="11"/>
    </row>
    <row r="7" customFormat="false" ht="15" hidden="false" customHeight="true" outlineLevel="0" collapsed="false">
      <c r="A7" s="8" t="s">
        <v>52</v>
      </c>
      <c r="B7" s="20" t="n">
        <f aca="false">SUM(B5:B6)</f>
        <v>460</v>
      </c>
      <c r="C7" s="11"/>
    </row>
    <row r="8" customFormat="false" ht="15" hidden="false" customHeight="true" outlineLevel="0" collapsed="false">
      <c r="A8" s="11"/>
      <c r="B8" s="11"/>
      <c r="C8" s="11"/>
    </row>
    <row r="9" customFormat="false" ht="15" hidden="false" customHeight="true" outlineLevel="0" collapsed="false">
      <c r="A9" s="17" t="s">
        <v>53</v>
      </c>
      <c r="B9" s="17"/>
      <c r="C9" s="17"/>
    </row>
    <row r="10" customFormat="false" ht="15" hidden="false" customHeight="true" outlineLevel="0" collapsed="false">
      <c r="A10" s="5" t="s">
        <v>54</v>
      </c>
      <c r="B10" s="13" t="n">
        <f aca="false">Annahmen!B5*Annahmen!B6*Annahmen!B12+Annahmen!B13</f>
        <v>0.782</v>
      </c>
      <c r="C10" s="11"/>
    </row>
    <row r="11" customFormat="false" ht="15" hidden="false" customHeight="true" outlineLevel="0" collapsed="false">
      <c r="A11" s="5" t="s">
        <v>55</v>
      </c>
      <c r="B11" s="13" t="n">
        <f aca="false">Annahmen!B14</f>
        <v>5</v>
      </c>
      <c r="C11" s="11"/>
    </row>
    <row r="12" customFormat="false" ht="15" hidden="false" customHeight="true" outlineLevel="0" collapsed="false">
      <c r="A12" s="8" t="s">
        <v>56</v>
      </c>
      <c r="B12" s="25" t="n">
        <f aca="false">SUM(B10:B11)</f>
        <v>5.782</v>
      </c>
      <c r="C12" s="11"/>
    </row>
    <row r="13" customFormat="false" ht="15" hidden="false" customHeight="true" outlineLevel="0" collapsed="false">
      <c r="A13" s="11"/>
      <c r="B13" s="11"/>
      <c r="C13" s="11"/>
    </row>
    <row r="14" customFormat="false" ht="15" hidden="false" customHeight="true" outlineLevel="0" collapsed="false">
      <c r="A14" s="17" t="s">
        <v>57</v>
      </c>
      <c r="B14" s="17"/>
      <c r="C14" s="17"/>
    </row>
    <row r="15" customFormat="false" ht="15" hidden="false" customHeight="true" outlineLevel="0" collapsed="false">
      <c r="A15" s="5" t="s">
        <v>58</v>
      </c>
      <c r="B15" s="13" t="n">
        <f aca="false">Annahmen!B5*Annahmen!B6</f>
        <v>38</v>
      </c>
      <c r="C15" s="11"/>
    </row>
    <row r="16" customFormat="false" ht="15" hidden="false" customHeight="true" outlineLevel="0" collapsed="false">
      <c r="A16" s="8" t="s">
        <v>59</v>
      </c>
      <c r="B16" s="25" t="n">
        <f aca="false">B15-B12</f>
        <v>32.218</v>
      </c>
      <c r="C16" s="11"/>
    </row>
    <row r="17" customFormat="false" ht="15" hidden="false" customHeight="true" outlineLevel="0" collapsed="false">
      <c r="A17" s="8" t="s">
        <v>60</v>
      </c>
      <c r="B17" s="26" t="n">
        <f aca="false">IFERROR(CEILING(B7/B16,1),"n/v")</f>
        <v>15</v>
      </c>
      <c r="C17" s="11"/>
    </row>
    <row r="18" customFormat="false" ht="15" hidden="false" customHeight="true" outlineLevel="0" collapsed="false">
      <c r="A18" s="5" t="s">
        <v>61</v>
      </c>
      <c r="B18" s="19" t="n">
        <f aca="false">IFERROR(B17*Annahmen!B6,"n/v")</f>
        <v>30</v>
      </c>
      <c r="C18" s="11"/>
    </row>
    <row r="19" customFormat="false" ht="15" hidden="false" customHeight="true" outlineLevel="0" collapsed="false">
      <c r="A19" s="5" t="s">
        <v>62</v>
      </c>
      <c r="B19" s="20" t="n">
        <f aca="false">IFERROR(B17*B15,"n/v")</f>
        <v>570</v>
      </c>
      <c r="C19" s="11"/>
    </row>
  </sheetData>
  <mergeCells count="5">
    <mergeCell ref="A1:C1"/>
    <mergeCell ref="A2:C2"/>
    <mergeCell ref="A4:C4"/>
    <mergeCell ref="A9:C9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1"/>
  </cols>
  <sheetData>
    <row r="1" customFormat="false" ht="36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27" t="s">
        <v>64</v>
      </c>
      <c r="B2" s="27"/>
      <c r="C2" s="27"/>
      <c r="D2" s="27"/>
    </row>
    <row r="3" customFormat="false" ht="15" hidden="false" customHeight="true" outlineLevel="0" collapsed="false">
      <c r="A3" s="28" t="s">
        <v>65</v>
      </c>
      <c r="B3" s="29" t="n">
        <v>3</v>
      </c>
    </row>
    <row r="4" customFormat="false" ht="15" hidden="false" customHeight="true" outlineLevel="0" collapsed="false">
      <c r="A4" s="28" t="s">
        <v>66</v>
      </c>
      <c r="B4" s="30" t="n">
        <v>0.05</v>
      </c>
    </row>
    <row r="5" customFormat="false" ht="15" hidden="false" customHeight="true" outlineLevel="0" collapsed="false">
      <c r="A5" s="28" t="s">
        <v>67</v>
      </c>
      <c r="B5" s="30" t="n">
        <v>0.02</v>
      </c>
    </row>
    <row r="7" customFormat="false" ht="15" hidden="false" customHeight="true" outlineLevel="0" collapsed="false">
      <c r="A7" s="17" t="s">
        <v>68</v>
      </c>
      <c r="B7" s="17" t="s">
        <v>69</v>
      </c>
      <c r="C7" s="17" t="s">
        <v>70</v>
      </c>
      <c r="D7" s="17" t="s">
        <v>71</v>
      </c>
      <c r="E7" s="17" t="s">
        <v>72</v>
      </c>
      <c r="F7" s="17" t="s">
        <v>73</v>
      </c>
      <c r="G7" s="17" t="s">
        <v>74</v>
      </c>
      <c r="H7" s="17" t="s">
        <v>75</v>
      </c>
      <c r="I7" s="17" t="s">
        <v>76</v>
      </c>
      <c r="J7" s="17" t="s">
        <v>77</v>
      </c>
      <c r="K7" s="17" t="s">
        <v>78</v>
      </c>
      <c r="L7" s="17" t="s">
        <v>79</v>
      </c>
      <c r="M7" s="17" t="s">
        <v>80</v>
      </c>
    </row>
    <row r="8" customFormat="false" ht="15" hidden="false" customHeight="true" outlineLevel="0" collapsed="false">
      <c r="A8" s="5" t="s">
        <v>81</v>
      </c>
      <c r="B8" s="19" t="n">
        <f aca="false">$B$3</f>
        <v>3</v>
      </c>
      <c r="C8" s="19" t="n">
        <f aca="false">ROUND(B8*(1+$B$4),0)</f>
        <v>3</v>
      </c>
      <c r="D8" s="19" t="n">
        <f aca="false">ROUND(C8*(1+$B$4),0)</f>
        <v>3</v>
      </c>
      <c r="E8" s="19" t="n">
        <f aca="false">ROUND(D8*(1+$B$4),0)</f>
        <v>3</v>
      </c>
      <c r="F8" s="19" t="n">
        <f aca="false">ROUND(E8*(1+$B$4),0)</f>
        <v>3</v>
      </c>
      <c r="G8" s="19" t="n">
        <f aca="false">ROUND(F8*(1+$B$4),0)</f>
        <v>3</v>
      </c>
      <c r="H8" s="19" t="n">
        <f aca="false">ROUND(G8*(1+$B$4),0)</f>
        <v>3</v>
      </c>
      <c r="I8" s="19" t="n">
        <f aca="false">ROUND(H8*(1+$B$4),0)</f>
        <v>3</v>
      </c>
      <c r="J8" s="19" t="n">
        <f aca="false">ROUND(I8*(1+$B$4),0)</f>
        <v>3</v>
      </c>
      <c r="K8" s="19" t="n">
        <f aca="false">ROUND(J8*(1+$B$4),0)</f>
        <v>3</v>
      </c>
      <c r="L8" s="19" t="n">
        <f aca="false">ROUND(K8*(1+$B$4),0)</f>
        <v>3</v>
      </c>
      <c r="M8" s="19" t="n">
        <f aca="false">ROUND(L8*(1+$B$4),0)</f>
        <v>3</v>
      </c>
    </row>
    <row r="9" customFormat="false" ht="15" hidden="false" customHeight="true" outlineLevel="0" collapsed="false">
      <c r="A9" s="5" t="s">
        <v>82</v>
      </c>
      <c r="B9" s="19" t="n">
        <f aca="false">B8</f>
        <v>3</v>
      </c>
      <c r="C9" s="19" t="n">
        <f aca="false">B11+C8</f>
        <v>6</v>
      </c>
      <c r="D9" s="19" t="n">
        <f aca="false">C11+D8</f>
        <v>9</v>
      </c>
      <c r="E9" s="19" t="n">
        <f aca="false">D11+E8</f>
        <v>12</v>
      </c>
      <c r="F9" s="19" t="n">
        <f aca="false">E11+F8</f>
        <v>15</v>
      </c>
      <c r="G9" s="19" t="n">
        <f aca="false">F11+G8</f>
        <v>18</v>
      </c>
      <c r="H9" s="19" t="n">
        <f aca="false">G11+H8</f>
        <v>21</v>
      </c>
      <c r="I9" s="19" t="n">
        <f aca="false">H11+I8</f>
        <v>24</v>
      </c>
      <c r="J9" s="19" t="n">
        <f aca="false">I11+J8</f>
        <v>27</v>
      </c>
      <c r="K9" s="19" t="n">
        <f aca="false">J11+K8</f>
        <v>30</v>
      </c>
      <c r="L9" s="19" t="n">
        <f aca="false">K11+L8</f>
        <v>32</v>
      </c>
      <c r="M9" s="19" t="n">
        <f aca="false">L11+M8</f>
        <v>34</v>
      </c>
    </row>
    <row r="10" customFormat="false" ht="15" hidden="false" customHeight="true" outlineLevel="0" collapsed="false">
      <c r="A10" s="5" t="s">
        <v>83</v>
      </c>
      <c r="B10" s="19" t="n">
        <f aca="false">ROUND(B9*$B$5,0)</f>
        <v>0</v>
      </c>
      <c r="C10" s="19" t="n">
        <f aca="false">ROUND(B11*$B$5,0)</f>
        <v>0</v>
      </c>
      <c r="D10" s="19" t="n">
        <f aca="false">ROUND(C11*$B$5,0)</f>
        <v>0</v>
      </c>
      <c r="E10" s="19" t="n">
        <f aca="false">ROUND(D11*$B$5,0)</f>
        <v>0</v>
      </c>
      <c r="F10" s="19" t="n">
        <f aca="false">ROUND(E11*$B$5,0)</f>
        <v>0</v>
      </c>
      <c r="G10" s="19" t="n">
        <f aca="false">ROUND(F11*$B$5,0)</f>
        <v>0</v>
      </c>
      <c r="H10" s="19" t="n">
        <f aca="false">ROUND(G11*$B$5,0)</f>
        <v>0</v>
      </c>
      <c r="I10" s="19" t="n">
        <f aca="false">ROUND(H11*$B$5,0)</f>
        <v>0</v>
      </c>
      <c r="J10" s="19" t="n">
        <f aca="false">ROUND(I11*$B$5,0)</f>
        <v>0</v>
      </c>
      <c r="K10" s="19" t="n">
        <f aca="false">ROUND(J11*$B$5,0)</f>
        <v>1</v>
      </c>
      <c r="L10" s="19" t="n">
        <f aca="false">ROUND(K11*$B$5,0)</f>
        <v>1</v>
      </c>
      <c r="M10" s="19" t="n">
        <f aca="false">ROUND(L11*$B$5,0)</f>
        <v>1</v>
      </c>
    </row>
    <row r="11" customFormat="false" ht="15" hidden="false" customHeight="true" outlineLevel="0" collapsed="false">
      <c r="A11" s="8" t="s">
        <v>84</v>
      </c>
      <c r="B11" s="19" t="n">
        <f aca="false">B9-B10</f>
        <v>3</v>
      </c>
      <c r="C11" s="19" t="n">
        <f aca="false">C9-C10</f>
        <v>6</v>
      </c>
      <c r="D11" s="19" t="n">
        <f aca="false">D9-D10</f>
        <v>9</v>
      </c>
      <c r="E11" s="19" t="n">
        <f aca="false">E9-E10</f>
        <v>12</v>
      </c>
      <c r="F11" s="19" t="n">
        <f aca="false">F9-F10</f>
        <v>15</v>
      </c>
      <c r="G11" s="19" t="n">
        <f aca="false">G9-G10</f>
        <v>18</v>
      </c>
      <c r="H11" s="19" t="n">
        <f aca="false">H9-H10</f>
        <v>21</v>
      </c>
      <c r="I11" s="19" t="n">
        <f aca="false">I9-I10</f>
        <v>24</v>
      </c>
      <c r="J11" s="19" t="n">
        <f aca="false">J9-J10</f>
        <v>27</v>
      </c>
      <c r="K11" s="19" t="n">
        <f aca="false">K9-K10</f>
        <v>29</v>
      </c>
      <c r="L11" s="19" t="n">
        <f aca="false">L9-L10</f>
        <v>31</v>
      </c>
      <c r="M11" s="19" t="n">
        <f aca="false">M9-M10</f>
        <v>33</v>
      </c>
    </row>
    <row r="12" customFormat="false" ht="15" hidden="false" customHeight="true" outlineLevel="0" collapsed="false">
      <c r="A12" s="31" t="s">
        <v>85</v>
      </c>
      <c r="B12" s="21" t="n">
        <f aca="false">B11*Annahmen!B5*Annahmen!B6</f>
        <v>114</v>
      </c>
      <c r="C12" s="21" t="n">
        <f aca="false">C11*Annahmen!B5*Annahmen!B6</f>
        <v>228</v>
      </c>
      <c r="D12" s="21" t="n">
        <f aca="false">D11*Annahmen!B5*Annahmen!B6</f>
        <v>342</v>
      </c>
      <c r="E12" s="21" t="n">
        <f aca="false">E11*Annahmen!B5*Annahmen!B6</f>
        <v>456</v>
      </c>
      <c r="F12" s="21" t="n">
        <f aca="false">F11*Annahmen!B5*Annahmen!B6</f>
        <v>570</v>
      </c>
      <c r="G12" s="21" t="n">
        <f aca="false">G11*Annahmen!B5*Annahmen!B6</f>
        <v>684</v>
      </c>
      <c r="H12" s="21" t="n">
        <f aca="false">H11*Annahmen!B5*Annahmen!B6</f>
        <v>798</v>
      </c>
      <c r="I12" s="21" t="n">
        <f aca="false">I11*Annahmen!B5*Annahmen!B6</f>
        <v>912</v>
      </c>
      <c r="J12" s="21" t="n">
        <f aca="false">J11*Annahmen!B5*Annahmen!B6</f>
        <v>1026</v>
      </c>
      <c r="K12" s="21" t="n">
        <f aca="false">K11*Annahmen!B5*Annahmen!B6</f>
        <v>1102</v>
      </c>
      <c r="L12" s="21" t="n">
        <f aca="false">L11*Annahmen!B5*Annahmen!B6</f>
        <v>1178</v>
      </c>
      <c r="M12" s="21" t="n">
        <f aca="false">M11*Annahmen!B5*Annahmen!B6</f>
        <v>1254</v>
      </c>
    </row>
    <row r="13" customFormat="false" ht="15" hidden="false" customHeight="true" outlineLevel="0" collapsed="false">
      <c r="A13" s="8" t="s">
        <v>86</v>
      </c>
      <c r="B13" s="20" t="n">
        <f aca="false">B12*12</f>
        <v>1368</v>
      </c>
      <c r="C13" s="20" t="n">
        <f aca="false">C12*12</f>
        <v>2736</v>
      </c>
      <c r="D13" s="20" t="n">
        <f aca="false">D12*12</f>
        <v>4104</v>
      </c>
      <c r="E13" s="20" t="n">
        <f aca="false">E12*12</f>
        <v>5472</v>
      </c>
      <c r="F13" s="20" t="n">
        <f aca="false">F12*12</f>
        <v>6840</v>
      </c>
      <c r="G13" s="20" t="n">
        <f aca="false">G12*12</f>
        <v>8208</v>
      </c>
      <c r="H13" s="20" t="n">
        <f aca="false">H12*12</f>
        <v>9576</v>
      </c>
      <c r="I13" s="20" t="n">
        <f aca="false">I12*12</f>
        <v>10944</v>
      </c>
      <c r="J13" s="20" t="n">
        <f aca="false">J12*12</f>
        <v>12312</v>
      </c>
      <c r="K13" s="20" t="n">
        <f aca="false">K12*12</f>
        <v>13224</v>
      </c>
      <c r="L13" s="20" t="n">
        <f aca="false">L12*12</f>
        <v>14136</v>
      </c>
      <c r="M13" s="20" t="n">
        <f aca="false">M12*12</f>
        <v>15048</v>
      </c>
    </row>
  </sheetData>
  <mergeCells count="2">
    <mergeCell ref="A1:M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21" min="4" style="0" width="9"/>
  </cols>
  <sheetData>
    <row r="1" customFormat="false" ht="33.75" hidden="false" customHeight="true" outlineLevel="0" collapsed="false">
      <c r="A1" s="32" t="s">
        <v>87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customFormat="false" ht="15" hidden="false" customHeight="true" outlineLevel="0" collapsed="false">
      <c r="A2" s="23" t="s">
        <v>88</v>
      </c>
      <c r="B2" s="23"/>
      <c r="C2" s="23"/>
    </row>
    <row r="3" customFormat="false" ht="15" hidden="false" customHeight="false" outlineLevel="0" collapsed="false">
      <c r="A3" s="33" t="s">
        <v>89</v>
      </c>
      <c r="B3" s="34" t="n">
        <v>2</v>
      </c>
      <c r="C3" s="35" t="s">
        <v>90</v>
      </c>
    </row>
    <row r="4" customFormat="false" ht="15" hidden="false" customHeight="false" outlineLevel="0" collapsed="false">
      <c r="A4" s="33" t="s">
        <v>65</v>
      </c>
      <c r="B4" s="34" t="n">
        <v>3</v>
      </c>
      <c r="C4" s="35" t="s">
        <v>91</v>
      </c>
    </row>
    <row r="5" customFormat="false" ht="15" hidden="false" customHeight="false" outlineLevel="0" collapsed="false">
      <c r="A5" s="33" t="s">
        <v>66</v>
      </c>
      <c r="B5" s="30" t="n">
        <v>0.05</v>
      </c>
      <c r="C5" s="35" t="s">
        <v>92</v>
      </c>
    </row>
    <row r="6" customFormat="false" ht="15" hidden="false" customHeight="false" outlineLevel="0" collapsed="false">
      <c r="A6" s="33" t="s">
        <v>93</v>
      </c>
      <c r="B6" s="30" t="n">
        <v>0.02</v>
      </c>
      <c r="C6" s="35" t="s">
        <v>94</v>
      </c>
    </row>
    <row r="7" customFormat="false" ht="15" hidden="false" customHeight="false" outlineLevel="0" collapsed="false">
      <c r="A7" s="33" t="s">
        <v>95</v>
      </c>
      <c r="B7" s="36" t="n">
        <v>1000</v>
      </c>
      <c r="C7" s="35" t="s">
        <v>96</v>
      </c>
    </row>
    <row r="8" customFormat="false" ht="15" hidden="false" customHeight="false" outlineLevel="0" collapsed="false">
      <c r="A8" s="33" t="s">
        <v>97</v>
      </c>
      <c r="B8" s="36" t="n">
        <v>5000</v>
      </c>
      <c r="C8" s="35" t="s">
        <v>98</v>
      </c>
    </row>
    <row r="10" customFormat="false" ht="15" hidden="false" customHeight="false" outlineLevel="0" collapsed="false">
      <c r="A10" s="4" t="s">
        <v>68</v>
      </c>
      <c r="B10" s="4" t="s">
        <v>99</v>
      </c>
      <c r="C10" s="4" t="s">
        <v>100</v>
      </c>
      <c r="D10" s="37" t="s">
        <v>101</v>
      </c>
      <c r="E10" s="37" t="s">
        <v>102</v>
      </c>
      <c r="F10" s="37" t="s">
        <v>103</v>
      </c>
      <c r="G10" s="37" t="s">
        <v>104</v>
      </c>
      <c r="H10" s="37" t="s">
        <v>105</v>
      </c>
      <c r="I10" s="37" t="s">
        <v>106</v>
      </c>
      <c r="J10" s="37" t="s">
        <v>107</v>
      </c>
      <c r="K10" s="37" t="s">
        <v>108</v>
      </c>
      <c r="L10" s="37" t="s">
        <v>109</v>
      </c>
      <c r="M10" s="37" t="s">
        <v>110</v>
      </c>
      <c r="N10" s="37" t="s">
        <v>111</v>
      </c>
      <c r="O10" s="37" t="s">
        <v>112</v>
      </c>
      <c r="P10" s="37" t="s">
        <v>113</v>
      </c>
      <c r="Q10" s="37" t="s">
        <v>114</v>
      </c>
      <c r="R10" s="37" t="s">
        <v>115</v>
      </c>
      <c r="S10" s="37" t="s">
        <v>116</v>
      </c>
      <c r="T10" s="37" t="s">
        <v>117</v>
      </c>
      <c r="U10" s="37" t="s">
        <v>118</v>
      </c>
    </row>
    <row r="11" customFormat="false" ht="15" hidden="false" customHeight="false" outlineLevel="0" collapsed="false">
      <c r="A11" s="38" t="s">
        <v>119</v>
      </c>
      <c r="B11" s="39"/>
      <c r="C11" s="40" t="s">
        <v>120</v>
      </c>
      <c r="D11" s="41" t="str">
        <f aca="false">IF(1&lt;=$B$3,"Pre-Launch","Live")</f>
        <v>Pre-Launch</v>
      </c>
      <c r="E11" s="41" t="str">
        <f aca="false">IF(2&lt;=$B$3,"Pre-Launch","Live")</f>
        <v>Pre-Launch</v>
      </c>
      <c r="F11" s="42" t="str">
        <f aca="false">IF(3&lt;=$B$3,"Pre-Launch","Live")</f>
        <v>Live</v>
      </c>
      <c r="G11" s="42" t="str">
        <f aca="false">IF(4&lt;=$B$3,"Pre-Launch","Live")</f>
        <v>Live</v>
      </c>
      <c r="H11" s="42" t="str">
        <f aca="false">IF(5&lt;=$B$3,"Pre-Launch","Live")</f>
        <v>Live</v>
      </c>
      <c r="I11" s="42" t="str">
        <f aca="false">IF(6&lt;=$B$3,"Pre-Launch","Live")</f>
        <v>Live</v>
      </c>
      <c r="J11" s="42" t="str">
        <f aca="false">IF(7&lt;=$B$3,"Pre-Launch","Live")</f>
        <v>Live</v>
      </c>
      <c r="K11" s="42" t="str">
        <f aca="false">IF(8&lt;=$B$3,"Pre-Launch","Live")</f>
        <v>Live</v>
      </c>
      <c r="L11" s="42" t="str">
        <f aca="false">IF(9&lt;=$B$3,"Pre-Launch","Live")</f>
        <v>Live</v>
      </c>
      <c r="M11" s="42" t="str">
        <f aca="false">IF(10&lt;=$B$3,"Pre-Launch","Live")</f>
        <v>Live</v>
      </c>
      <c r="N11" s="42" t="str">
        <f aca="false">IF(11&lt;=$B$3,"Pre-Launch","Live")</f>
        <v>Live</v>
      </c>
      <c r="O11" s="42" t="str">
        <f aca="false">IF(12&lt;=$B$3,"Pre-Launch","Live")</f>
        <v>Live</v>
      </c>
      <c r="P11" s="42" t="str">
        <f aca="false">IF(13&lt;=$B$3,"Pre-Launch","Live")</f>
        <v>Live</v>
      </c>
      <c r="Q11" s="42" t="str">
        <f aca="false">IF(14&lt;=$B$3,"Pre-Launch","Live")</f>
        <v>Live</v>
      </c>
      <c r="R11" s="42" t="str">
        <f aca="false">IF(15&lt;=$B$3,"Pre-Launch","Live")</f>
        <v>Live</v>
      </c>
      <c r="S11" s="42" t="str">
        <f aca="false">IF(16&lt;=$B$3,"Pre-Launch","Live")</f>
        <v>Live</v>
      </c>
      <c r="T11" s="42" t="str">
        <f aca="false">IF(17&lt;=$B$3,"Pre-Launch","Live")</f>
        <v>Live</v>
      </c>
      <c r="U11" s="42" t="str">
        <f aca="false">IF(18&lt;=$B$3,"Pre-Launch","Live")</f>
        <v>Live</v>
      </c>
    </row>
    <row r="12" customFormat="false" ht="15" hidden="false" customHeight="false" outlineLevel="0" collapsed="false">
      <c r="A12" s="38" t="s">
        <v>81</v>
      </c>
      <c r="B12" s="39"/>
      <c r="C12" s="40"/>
      <c r="D12" s="43" t="n">
        <f aca="false">IF(1&lt;=$B$3,0,$B$4)</f>
        <v>0</v>
      </c>
      <c r="E12" s="43" t="n">
        <f aca="false">IF(2&lt;=$B$3,0,ROUND(D12*(1+$B$5),0))</f>
        <v>0</v>
      </c>
      <c r="F12" s="44" t="n">
        <f aca="false">IF(3&lt;=$B$3,0,ROUND(E12*(1+$B$5),0))</f>
        <v>0</v>
      </c>
      <c r="G12" s="44" t="n">
        <f aca="false">IF(4&lt;=$B$3,0,ROUND(F12*(1+$B$5),0))</f>
        <v>0</v>
      </c>
      <c r="H12" s="44" t="n">
        <f aca="false">IF(5&lt;=$B$3,0,ROUND(G12*(1+$B$5),0))</f>
        <v>0</v>
      </c>
      <c r="I12" s="44" t="n">
        <f aca="false">IF(6&lt;=$B$3,0,ROUND(H12*(1+$B$5),0))</f>
        <v>0</v>
      </c>
      <c r="J12" s="44" t="n">
        <f aca="false">IF(7&lt;=$B$3,0,ROUND(I12*(1+$B$5),0))</f>
        <v>0</v>
      </c>
      <c r="K12" s="44" t="n">
        <f aca="false">IF(8&lt;=$B$3,0,ROUND(J12*(1+$B$5),0))</f>
        <v>0</v>
      </c>
      <c r="L12" s="44" t="n">
        <f aca="false">IF(9&lt;=$B$3,0,ROUND(K12*(1+$B$5),0))</f>
        <v>0</v>
      </c>
      <c r="M12" s="44" t="n">
        <f aca="false">IF(10&lt;=$B$3,0,ROUND(L12*(1+$B$5),0))</f>
        <v>0</v>
      </c>
      <c r="N12" s="44" t="n">
        <f aca="false">IF(11&lt;=$B$3,0,ROUND(M12*(1+$B$5),0))</f>
        <v>0</v>
      </c>
      <c r="O12" s="44" t="n">
        <f aca="false">IF(12&lt;=$B$3,0,ROUND(N12*(1+$B$5),0))</f>
        <v>0</v>
      </c>
      <c r="P12" s="44" t="n">
        <f aca="false">IF(13&lt;=$B$3,0,ROUND(O12*(1+$B$5),0))</f>
        <v>0</v>
      </c>
      <c r="Q12" s="44" t="n">
        <f aca="false">IF(14&lt;=$B$3,0,ROUND(P12*(1+$B$5),0))</f>
        <v>0</v>
      </c>
      <c r="R12" s="44" t="n">
        <f aca="false">IF(15&lt;=$B$3,0,ROUND(Q12*(1+$B$5),0))</f>
        <v>0</v>
      </c>
      <c r="S12" s="44" t="n">
        <f aca="false">IF(16&lt;=$B$3,0,ROUND(R12*(1+$B$5),0))</f>
        <v>0</v>
      </c>
      <c r="T12" s="44" t="n">
        <f aca="false">IF(17&lt;=$B$3,0,ROUND(S12*(1+$B$5),0))</f>
        <v>0</v>
      </c>
      <c r="U12" s="44" t="n">
        <f aca="false">IF(18&lt;=$B$3,0,ROUND(T12*(1+$B$5),0))</f>
        <v>0</v>
      </c>
    </row>
    <row r="13" customFormat="false" ht="15" hidden="false" customHeight="false" outlineLevel="0" collapsed="false">
      <c r="A13" s="38" t="s">
        <v>84</v>
      </c>
      <c r="B13" s="39"/>
      <c r="C13" s="40"/>
      <c r="D13" s="45" t="n">
        <f aca="false">IF(1&lt;=$B$3,0,D12)</f>
        <v>0</v>
      </c>
      <c r="E13" s="45" t="n">
        <f aca="false">IF(2&lt;=$B$3,0,MAX(0,D13*(1-$B$6)+E12))</f>
        <v>0</v>
      </c>
      <c r="F13" s="46" t="n">
        <f aca="false">IF(3&lt;=$B$3,0,MAX(0,E13*(1-$B$6)+F12))</f>
        <v>0</v>
      </c>
      <c r="G13" s="46" t="n">
        <f aca="false">IF(4&lt;=$B$3,0,MAX(0,F13*(1-$B$6)+G12))</f>
        <v>0</v>
      </c>
      <c r="H13" s="46" t="n">
        <f aca="false">IF(5&lt;=$B$3,0,MAX(0,G13*(1-$B$6)+H12))</f>
        <v>0</v>
      </c>
      <c r="I13" s="46" t="n">
        <f aca="false">IF(6&lt;=$B$3,0,MAX(0,H13*(1-$B$6)+I12))</f>
        <v>0</v>
      </c>
      <c r="J13" s="46" t="n">
        <f aca="false">IF(7&lt;=$B$3,0,MAX(0,I13*(1-$B$6)+J12))</f>
        <v>0</v>
      </c>
      <c r="K13" s="46" t="n">
        <f aca="false">IF(8&lt;=$B$3,0,MAX(0,J13*(1-$B$6)+K12))</f>
        <v>0</v>
      </c>
      <c r="L13" s="46" t="n">
        <f aca="false">IF(9&lt;=$B$3,0,MAX(0,K13*(1-$B$6)+L12))</f>
        <v>0</v>
      </c>
      <c r="M13" s="46" t="n">
        <f aca="false">IF(10&lt;=$B$3,0,MAX(0,L13*(1-$B$6)+M12))</f>
        <v>0</v>
      </c>
      <c r="N13" s="46" t="n">
        <f aca="false">IF(11&lt;=$B$3,0,MAX(0,M13*(1-$B$6)+N12))</f>
        <v>0</v>
      </c>
      <c r="O13" s="46" t="n">
        <f aca="false">IF(12&lt;=$B$3,0,MAX(0,N13*(1-$B$6)+O12))</f>
        <v>0</v>
      </c>
      <c r="P13" s="46" t="n">
        <f aca="false">IF(13&lt;=$B$3,0,MAX(0,O13*(1-$B$6)+P12))</f>
        <v>0</v>
      </c>
      <c r="Q13" s="46" t="n">
        <f aca="false">IF(14&lt;=$B$3,0,MAX(0,P13*(1-$B$6)+Q12))</f>
        <v>0</v>
      </c>
      <c r="R13" s="46" t="n">
        <f aca="false">IF(15&lt;=$B$3,0,MAX(0,Q13*(1-$B$6)+R12))</f>
        <v>0</v>
      </c>
      <c r="S13" s="46" t="n">
        <f aca="false">IF(16&lt;=$B$3,0,MAX(0,R13*(1-$B$6)+S12))</f>
        <v>0</v>
      </c>
      <c r="T13" s="46" t="n">
        <f aca="false">IF(17&lt;=$B$3,0,MAX(0,S13*(1-$B$6)+T12))</f>
        <v>0</v>
      </c>
      <c r="U13" s="46" t="n">
        <f aca="false">IF(18&lt;=$B$3,0,MAX(0,T13*(1-$B$6)+U12))</f>
        <v>0</v>
      </c>
    </row>
    <row r="14" customFormat="false" ht="15" hidden="false" customHeight="false" outlineLevel="0" collapsed="false">
      <c r="A14" s="47" t="s">
        <v>85</v>
      </c>
      <c r="B14" s="48" t="n">
        <f aca="false">B7</f>
        <v>1000</v>
      </c>
      <c r="C14" s="40"/>
      <c r="D14" s="49" t="n">
        <f aca="false">IF(1&lt;=$B$3,0,D13*Annahmen!$B$5*Annahmen!$B$6)</f>
        <v>0</v>
      </c>
      <c r="E14" s="49" t="n">
        <f aca="false">IF(2&lt;=$B$3,0,E13*Annahmen!$B$5*Annahmen!$B$6)</f>
        <v>0</v>
      </c>
      <c r="F14" s="50" t="n">
        <f aca="false">IF(3&lt;=$B$3,0,F13*Annahmen!$B$5*Annahmen!$B$6)</f>
        <v>0</v>
      </c>
      <c r="G14" s="50" t="n">
        <f aca="false">IF(4&lt;=$B$3,0,G13*Annahmen!$B$5*Annahmen!$B$6)</f>
        <v>0</v>
      </c>
      <c r="H14" s="50" t="n">
        <f aca="false">IF(5&lt;=$B$3,0,H13*Annahmen!$B$5*Annahmen!$B$6)</f>
        <v>0</v>
      </c>
      <c r="I14" s="50" t="n">
        <f aca="false">IF(6&lt;=$B$3,0,I13*Annahmen!$B$5*Annahmen!$B$6)</f>
        <v>0</v>
      </c>
      <c r="J14" s="50" t="n">
        <f aca="false">IF(7&lt;=$B$3,0,J13*Annahmen!$B$5*Annahmen!$B$6)</f>
        <v>0</v>
      </c>
      <c r="K14" s="50" t="n">
        <f aca="false">IF(8&lt;=$B$3,0,K13*Annahmen!$B$5*Annahmen!$B$6)</f>
        <v>0</v>
      </c>
      <c r="L14" s="50" t="n">
        <f aca="false">IF(9&lt;=$B$3,0,L13*Annahmen!$B$5*Annahmen!$B$6)</f>
        <v>0</v>
      </c>
      <c r="M14" s="50" t="n">
        <f aca="false">IF(10&lt;=$B$3,0,M13*Annahmen!$B$5*Annahmen!$B$6)</f>
        <v>0</v>
      </c>
      <c r="N14" s="50" t="n">
        <f aca="false">IF(11&lt;=$B$3,0,N13*Annahmen!$B$5*Annahmen!$B$6)</f>
        <v>0</v>
      </c>
      <c r="O14" s="50" t="n">
        <f aca="false">IF(12&lt;=$B$3,0,O13*Annahmen!$B$5*Annahmen!$B$6)</f>
        <v>0</v>
      </c>
      <c r="P14" s="50" t="n">
        <f aca="false">IF(13&lt;=$B$3,0,P13*Annahmen!$B$5*Annahmen!$B$6)</f>
        <v>0</v>
      </c>
      <c r="Q14" s="50" t="n">
        <f aca="false">IF(14&lt;=$B$3,0,Q13*Annahmen!$B$5*Annahmen!$B$6)</f>
        <v>0</v>
      </c>
      <c r="R14" s="50" t="n">
        <f aca="false">IF(15&lt;=$B$3,0,R13*Annahmen!$B$5*Annahmen!$B$6)</f>
        <v>0</v>
      </c>
      <c r="S14" s="50" t="n">
        <f aca="false">IF(16&lt;=$B$3,0,S13*Annahmen!$B$5*Annahmen!$B$6)</f>
        <v>0</v>
      </c>
      <c r="T14" s="50" t="n">
        <f aca="false">IF(17&lt;=$B$3,0,T13*Annahmen!$B$5*Annahmen!$B$6)</f>
        <v>0</v>
      </c>
      <c r="U14" s="50" t="n">
        <f aca="false">IF(18&lt;=$B$3,0,U13*Annahmen!$B$5*Annahmen!$B$6)</f>
        <v>0</v>
      </c>
    </row>
    <row r="15" customFormat="false" ht="15" hidden="false" customHeight="false" outlineLevel="0" collapsed="false">
      <c r="A15" s="38" t="s">
        <v>121</v>
      </c>
      <c r="B15" s="39"/>
      <c r="C15" s="40"/>
      <c r="D15" s="51" t="n">
        <f aca="false">IF(1&lt;=$B$3,Annahmen!$B$11+Annahmen!$B$15,Annahmen!$B$11+Annahmen!$B$15)</f>
        <v>460</v>
      </c>
      <c r="E15" s="51" t="n">
        <f aca="false">IF(2&lt;=$B$3,Annahmen!$B$11+Annahmen!$B$15,Annahmen!$B$11+Annahmen!$B$15)</f>
        <v>460</v>
      </c>
      <c r="F15" s="52" t="n">
        <f aca="false">IF(3&lt;=$B$3,Annahmen!$B$11+Annahmen!$B$15,Annahmen!$B$11+Annahmen!$B$15)</f>
        <v>460</v>
      </c>
      <c r="G15" s="52" t="n">
        <f aca="false">IF(4&lt;=$B$3,Annahmen!$B$11+Annahmen!$B$15,Annahmen!$B$11+Annahmen!$B$15)</f>
        <v>460</v>
      </c>
      <c r="H15" s="52" t="n">
        <f aca="false">IF(5&lt;=$B$3,Annahmen!$B$11+Annahmen!$B$15,Annahmen!$B$11+Annahmen!$B$15)</f>
        <v>460</v>
      </c>
      <c r="I15" s="52" t="n">
        <f aca="false">IF(6&lt;=$B$3,Annahmen!$B$11+Annahmen!$B$15,Annahmen!$B$11+Annahmen!$B$15)</f>
        <v>460</v>
      </c>
      <c r="J15" s="52" t="n">
        <f aca="false">IF(7&lt;=$B$3,Annahmen!$B$11+Annahmen!$B$15,Annahmen!$B$11+Annahmen!$B$15)</f>
        <v>460</v>
      </c>
      <c r="K15" s="52" t="n">
        <f aca="false">IF(8&lt;=$B$3,Annahmen!$B$11+Annahmen!$B$15,Annahmen!$B$11+Annahmen!$B$15)</f>
        <v>460</v>
      </c>
      <c r="L15" s="52" t="n">
        <f aca="false">IF(9&lt;=$B$3,Annahmen!$B$11+Annahmen!$B$15,Annahmen!$B$11+Annahmen!$B$15)</f>
        <v>460</v>
      </c>
      <c r="M15" s="52" t="n">
        <f aca="false">IF(10&lt;=$B$3,Annahmen!$B$11+Annahmen!$B$15,Annahmen!$B$11+Annahmen!$B$15)</f>
        <v>460</v>
      </c>
      <c r="N15" s="52" t="n">
        <f aca="false">IF(11&lt;=$B$3,Annahmen!$B$11+Annahmen!$B$15,Annahmen!$B$11+Annahmen!$B$15)</f>
        <v>460</v>
      </c>
      <c r="O15" s="52" t="n">
        <f aca="false">IF(12&lt;=$B$3,Annahmen!$B$11+Annahmen!$B$15,Annahmen!$B$11+Annahmen!$B$15)</f>
        <v>460</v>
      </c>
      <c r="P15" s="52" t="n">
        <f aca="false">IF(13&lt;=$B$3,Annahmen!$B$11+Annahmen!$B$15,Annahmen!$B$11+Annahmen!$B$15)</f>
        <v>460</v>
      </c>
      <c r="Q15" s="52" t="n">
        <f aca="false">IF(14&lt;=$B$3,Annahmen!$B$11+Annahmen!$B$15,Annahmen!$B$11+Annahmen!$B$15)</f>
        <v>460</v>
      </c>
      <c r="R15" s="52" t="n">
        <f aca="false">IF(15&lt;=$B$3,Annahmen!$B$11+Annahmen!$B$15,Annahmen!$B$11+Annahmen!$B$15)</f>
        <v>460</v>
      </c>
      <c r="S15" s="52" t="n">
        <f aca="false">IF(16&lt;=$B$3,Annahmen!$B$11+Annahmen!$B$15,Annahmen!$B$11+Annahmen!$B$15)</f>
        <v>460</v>
      </c>
      <c r="T15" s="52" t="n">
        <f aca="false">IF(17&lt;=$B$3,Annahmen!$B$11+Annahmen!$B$15,Annahmen!$B$11+Annahmen!$B$15)</f>
        <v>460</v>
      </c>
      <c r="U15" s="52" t="n">
        <f aca="false">IF(18&lt;=$B$3,Annahmen!$B$11+Annahmen!$B$15,Annahmen!$B$11+Annahmen!$B$15)</f>
        <v>460</v>
      </c>
    </row>
    <row r="16" customFormat="false" ht="15" hidden="false" customHeight="false" outlineLevel="0" collapsed="false">
      <c r="A16" s="38" t="s">
        <v>122</v>
      </c>
      <c r="B16" s="39"/>
      <c r="C16" s="40"/>
      <c r="D16" s="51" t="n">
        <f aca="false">IF(1&lt;=$B$3,0,(D14*Annahmen!$B$12)+(D13*Annahmen!$B$13)+(D13*Annahmen!$B$14))</f>
        <v>0</v>
      </c>
      <c r="E16" s="51" t="n">
        <f aca="false">IF(2&lt;=$B$3,0,(E14*Annahmen!$B$12)+(E13*Annahmen!$B$13)+(E13*Annahmen!$B$14))</f>
        <v>0</v>
      </c>
      <c r="F16" s="52" t="n">
        <f aca="false">IF(3&lt;=$B$3,0,(F14*Annahmen!$B$12)+(F13*Annahmen!$B$13)+(F13*Annahmen!$B$14))</f>
        <v>0</v>
      </c>
      <c r="G16" s="52" t="n">
        <f aca="false">IF(4&lt;=$B$3,0,(G14*Annahmen!$B$12)+(G13*Annahmen!$B$13)+(G13*Annahmen!$B$14))</f>
        <v>0</v>
      </c>
      <c r="H16" s="52" t="n">
        <f aca="false">IF(5&lt;=$B$3,0,(H14*Annahmen!$B$12)+(H13*Annahmen!$B$13)+(H13*Annahmen!$B$14))</f>
        <v>0</v>
      </c>
      <c r="I16" s="52" t="n">
        <f aca="false">IF(6&lt;=$B$3,0,(I14*Annahmen!$B$12)+(I13*Annahmen!$B$13)+(I13*Annahmen!$B$14))</f>
        <v>0</v>
      </c>
      <c r="J16" s="52" t="n">
        <f aca="false">IF(7&lt;=$B$3,0,(J14*Annahmen!$B$12)+(J13*Annahmen!$B$13)+(J13*Annahmen!$B$14))</f>
        <v>0</v>
      </c>
      <c r="K16" s="52" t="n">
        <f aca="false">IF(8&lt;=$B$3,0,(K14*Annahmen!$B$12)+(K13*Annahmen!$B$13)+(K13*Annahmen!$B$14))</f>
        <v>0</v>
      </c>
      <c r="L16" s="52" t="n">
        <f aca="false">IF(9&lt;=$B$3,0,(L14*Annahmen!$B$12)+(L13*Annahmen!$B$13)+(L13*Annahmen!$B$14))</f>
        <v>0</v>
      </c>
      <c r="M16" s="52" t="n">
        <f aca="false">IF(10&lt;=$B$3,0,(M14*Annahmen!$B$12)+(M13*Annahmen!$B$13)+(M13*Annahmen!$B$14))</f>
        <v>0</v>
      </c>
      <c r="N16" s="52" t="n">
        <f aca="false">IF(11&lt;=$B$3,0,(N14*Annahmen!$B$12)+(N13*Annahmen!$B$13)+(N13*Annahmen!$B$14))</f>
        <v>0</v>
      </c>
      <c r="O16" s="52" t="n">
        <f aca="false">IF(12&lt;=$B$3,0,(O14*Annahmen!$B$12)+(O13*Annahmen!$B$13)+(O13*Annahmen!$B$14))</f>
        <v>0</v>
      </c>
      <c r="P16" s="52" t="n">
        <f aca="false">IF(13&lt;=$B$3,0,(P14*Annahmen!$B$12)+(P13*Annahmen!$B$13)+(P13*Annahmen!$B$14))</f>
        <v>0</v>
      </c>
      <c r="Q16" s="52" t="n">
        <f aca="false">IF(14&lt;=$B$3,0,(Q14*Annahmen!$B$12)+(Q13*Annahmen!$B$13)+(Q13*Annahmen!$B$14))</f>
        <v>0</v>
      </c>
      <c r="R16" s="52" t="n">
        <f aca="false">IF(15&lt;=$B$3,0,(R14*Annahmen!$B$12)+(R13*Annahmen!$B$13)+(R13*Annahmen!$B$14))</f>
        <v>0</v>
      </c>
      <c r="S16" s="52" t="n">
        <f aca="false">IF(16&lt;=$B$3,0,(S14*Annahmen!$B$12)+(S13*Annahmen!$B$13)+(S13*Annahmen!$B$14))</f>
        <v>0</v>
      </c>
      <c r="T16" s="52" t="n">
        <f aca="false">IF(17&lt;=$B$3,0,(T14*Annahmen!$B$12)+(T13*Annahmen!$B$13)+(T13*Annahmen!$B$14))</f>
        <v>0</v>
      </c>
      <c r="U16" s="52" t="n">
        <f aca="false">IF(18&lt;=$B$3,0,(U14*Annahmen!$B$12)+(U13*Annahmen!$B$13)+(U13*Annahmen!$B$14))</f>
        <v>0</v>
      </c>
    </row>
    <row r="17" customFormat="false" ht="15" hidden="false" customHeight="false" outlineLevel="0" collapsed="false">
      <c r="A17" s="38" t="s">
        <v>44</v>
      </c>
      <c r="B17" s="39"/>
      <c r="C17" s="40"/>
      <c r="D17" s="51" t="n">
        <f aca="false">D15+D16</f>
        <v>460</v>
      </c>
      <c r="E17" s="51" t="n">
        <f aca="false">E15+E16</f>
        <v>460</v>
      </c>
      <c r="F17" s="52" t="n">
        <f aca="false">F15+F16</f>
        <v>460</v>
      </c>
      <c r="G17" s="52" t="n">
        <f aca="false">G15+G16</f>
        <v>460</v>
      </c>
      <c r="H17" s="52" t="n">
        <f aca="false">H15+H16</f>
        <v>460</v>
      </c>
      <c r="I17" s="52" t="n">
        <f aca="false">I15+I16</f>
        <v>460</v>
      </c>
      <c r="J17" s="52" t="n">
        <f aca="false">J15+J16</f>
        <v>460</v>
      </c>
      <c r="K17" s="52" t="n">
        <f aca="false">K15+K16</f>
        <v>460</v>
      </c>
      <c r="L17" s="52" t="n">
        <f aca="false">L15+L16</f>
        <v>460</v>
      </c>
      <c r="M17" s="52" t="n">
        <f aca="false">M15+M16</f>
        <v>460</v>
      </c>
      <c r="N17" s="52" t="n">
        <f aca="false">N15+N16</f>
        <v>460</v>
      </c>
      <c r="O17" s="52" t="n">
        <f aca="false">O15+O16</f>
        <v>460</v>
      </c>
      <c r="P17" s="52" t="n">
        <f aca="false">P15+P16</f>
        <v>460</v>
      </c>
      <c r="Q17" s="52" t="n">
        <f aca="false">Q15+Q16</f>
        <v>460</v>
      </c>
      <c r="R17" s="52" t="n">
        <f aca="false">R15+R16</f>
        <v>460</v>
      </c>
      <c r="S17" s="52" t="n">
        <f aca="false">S15+S16</f>
        <v>460</v>
      </c>
      <c r="T17" s="52" t="n">
        <f aca="false">T15+T16</f>
        <v>460</v>
      </c>
      <c r="U17" s="52" t="n">
        <f aca="false">U15+U16</f>
        <v>460</v>
      </c>
    </row>
    <row r="18" customFormat="false" ht="15" hidden="false" customHeight="false" outlineLevel="0" collapsed="false">
      <c r="A18" s="47" t="s">
        <v>123</v>
      </c>
      <c r="B18" s="39"/>
      <c r="C18" s="40"/>
      <c r="D18" s="49" t="n">
        <f aca="false">D14-D17</f>
        <v>-460</v>
      </c>
      <c r="E18" s="49" t="n">
        <f aca="false">E14-E17</f>
        <v>-460</v>
      </c>
      <c r="F18" s="50" t="n">
        <f aca="false">F14-F17</f>
        <v>-460</v>
      </c>
      <c r="G18" s="50" t="n">
        <f aca="false">G14-G17</f>
        <v>-460</v>
      </c>
      <c r="H18" s="50" t="n">
        <f aca="false">H14-H17</f>
        <v>-460</v>
      </c>
      <c r="I18" s="50" t="n">
        <f aca="false">I14-I17</f>
        <v>-460</v>
      </c>
      <c r="J18" s="50" t="n">
        <f aca="false">J14-J17</f>
        <v>-460</v>
      </c>
      <c r="K18" s="50" t="n">
        <f aca="false">K14-K17</f>
        <v>-460</v>
      </c>
      <c r="L18" s="50" t="n">
        <f aca="false">L14-L17</f>
        <v>-460</v>
      </c>
      <c r="M18" s="50" t="n">
        <f aca="false">M14-M17</f>
        <v>-460</v>
      </c>
      <c r="N18" s="50" t="n">
        <f aca="false">N14-N17</f>
        <v>-460</v>
      </c>
      <c r="O18" s="50" t="n">
        <f aca="false">O14-O17</f>
        <v>-460</v>
      </c>
      <c r="P18" s="50" t="n">
        <f aca="false">P14-P17</f>
        <v>-460</v>
      </c>
      <c r="Q18" s="50" t="n">
        <f aca="false">Q14-Q17</f>
        <v>-460</v>
      </c>
      <c r="R18" s="50" t="n">
        <f aca="false">R14-R17</f>
        <v>-460</v>
      </c>
      <c r="S18" s="50" t="n">
        <f aca="false">S14-S17</f>
        <v>-460</v>
      </c>
      <c r="T18" s="50" t="n">
        <f aca="false">T14-T17</f>
        <v>-460</v>
      </c>
      <c r="U18" s="50" t="n">
        <f aca="false">U14-U17</f>
        <v>-460</v>
      </c>
    </row>
    <row r="19" customFormat="false" ht="15" hidden="false" customHeight="false" outlineLevel="0" collapsed="false">
      <c r="A19" s="47" t="s">
        <v>124</v>
      </c>
      <c r="B19" s="39"/>
      <c r="C19" s="40"/>
      <c r="D19" s="51" t="n">
        <f aca="false">D18</f>
        <v>-460</v>
      </c>
      <c r="E19" s="51" t="n">
        <f aca="false">D19+E18</f>
        <v>-920</v>
      </c>
      <c r="F19" s="53" t="n">
        <f aca="false">E19+F18</f>
        <v>-1380</v>
      </c>
      <c r="G19" s="53" t="n">
        <f aca="false">F19+G18</f>
        <v>-1840</v>
      </c>
      <c r="H19" s="53" t="n">
        <f aca="false">G19+H18</f>
        <v>-2300</v>
      </c>
      <c r="I19" s="53" t="n">
        <f aca="false">H19+I18</f>
        <v>-2760</v>
      </c>
      <c r="J19" s="53" t="n">
        <f aca="false">I19+J18</f>
        <v>-3220</v>
      </c>
      <c r="K19" s="53" t="n">
        <f aca="false">J19+K18</f>
        <v>-3680</v>
      </c>
      <c r="L19" s="53" t="n">
        <f aca="false">K19+L18</f>
        <v>-4140</v>
      </c>
      <c r="M19" s="53" t="n">
        <f aca="false">L19+M18</f>
        <v>-4600</v>
      </c>
      <c r="N19" s="53" t="n">
        <f aca="false">M19+N18</f>
        <v>-5060</v>
      </c>
      <c r="O19" s="53" t="n">
        <f aca="false">N19+O18</f>
        <v>-5520</v>
      </c>
      <c r="P19" s="53" t="n">
        <f aca="false">O19+P18</f>
        <v>-5980</v>
      </c>
      <c r="Q19" s="53" t="n">
        <f aca="false">P19+Q18</f>
        <v>-6440</v>
      </c>
      <c r="R19" s="53" t="n">
        <f aca="false">Q19+R18</f>
        <v>-6900</v>
      </c>
      <c r="S19" s="53" t="n">
        <f aca="false">R19+S18</f>
        <v>-7360</v>
      </c>
      <c r="T19" s="53" t="n">
        <f aca="false">S19+T18</f>
        <v>-7820</v>
      </c>
      <c r="U19" s="53" t="n">
        <f aca="false">T19+U18</f>
        <v>-8280</v>
      </c>
    </row>
    <row r="20" customFormat="false" ht="15" hidden="false" customHeight="false" outlineLevel="0" collapsed="false">
      <c r="A20" s="38" t="s">
        <v>125</v>
      </c>
      <c r="B20" s="39"/>
      <c r="C20" s="40"/>
      <c r="D20" s="54" t="str">
        <f aca="false">IF(D14=0,"–",IF(D14&gt;=$B$8,"🏆 €5k",IF(D14&gt;=$B$7,"✅ €1k","")))</f>
        <v>–</v>
      </c>
      <c r="E20" s="54" t="str">
        <f aca="false">IF(E14=0,"–",IF(E14&gt;=$B$8,"🏆 €5k",IF(E14&gt;=$B$7,"✅ €1k","")))</f>
        <v>–</v>
      </c>
      <c r="F20" s="55" t="str">
        <f aca="false">IF(F14=0,"–",IF(F14&gt;=$B$8,"🏆 €5k",IF(F14&gt;=$B$7,"✅ €1k","")))</f>
        <v>–</v>
      </c>
      <c r="G20" s="55" t="str">
        <f aca="false">IF(G14=0,"–",IF(G14&gt;=$B$8,"🏆 €5k",IF(G14&gt;=$B$7,"✅ €1k","")))</f>
        <v>–</v>
      </c>
      <c r="H20" s="55" t="str">
        <f aca="false">IF(H14=0,"–",IF(H14&gt;=$B$8,"🏆 €5k",IF(H14&gt;=$B$7,"✅ €1k","")))</f>
        <v>–</v>
      </c>
      <c r="I20" s="55" t="str">
        <f aca="false">IF(I14=0,"–",IF(I14&gt;=$B$8,"🏆 €5k",IF(I14&gt;=$B$7,"✅ €1k","")))</f>
        <v>–</v>
      </c>
      <c r="J20" s="55" t="str">
        <f aca="false">IF(J14=0,"–",IF(J14&gt;=$B$8,"🏆 €5k",IF(J14&gt;=$B$7,"✅ €1k","")))</f>
        <v>–</v>
      </c>
      <c r="K20" s="55" t="str">
        <f aca="false">IF(K14=0,"–",IF(K14&gt;=$B$8,"🏆 €5k",IF(K14&gt;=$B$7,"✅ €1k","")))</f>
        <v>–</v>
      </c>
      <c r="L20" s="55" t="str">
        <f aca="false">IF(L14=0,"–",IF(L14&gt;=$B$8,"🏆 €5k",IF(L14&gt;=$B$7,"✅ €1k","")))</f>
        <v>–</v>
      </c>
      <c r="M20" s="55" t="str">
        <f aca="false">IF(M14=0,"–",IF(M14&gt;=$B$8,"🏆 €5k",IF(M14&gt;=$B$7,"✅ €1k","")))</f>
        <v>–</v>
      </c>
      <c r="N20" s="55" t="str">
        <f aca="false">IF(N14=0,"–",IF(N14&gt;=$B$8,"🏆 €5k",IF(N14&gt;=$B$7,"✅ €1k","")))</f>
        <v>–</v>
      </c>
      <c r="O20" s="55" t="str">
        <f aca="false">IF(O14=0,"–",IF(O14&gt;=$B$8,"🏆 €5k",IF(O14&gt;=$B$7,"✅ €1k","")))</f>
        <v>–</v>
      </c>
      <c r="P20" s="55" t="str">
        <f aca="false">IF(P14=0,"–",IF(P14&gt;=$B$8,"🏆 €5k",IF(P14&gt;=$B$7,"✅ €1k","")))</f>
        <v>–</v>
      </c>
      <c r="Q20" s="55" t="str">
        <f aca="false">IF(Q14=0,"–",IF(Q14&gt;=$B$8,"🏆 €5k",IF(Q14&gt;=$B$7,"✅ €1k","")))</f>
        <v>–</v>
      </c>
      <c r="R20" s="55" t="str">
        <f aca="false">IF(R14=0,"–",IF(R14&gt;=$B$8,"🏆 €5k",IF(R14&gt;=$B$7,"✅ €1k","")))</f>
        <v>–</v>
      </c>
      <c r="S20" s="55" t="str">
        <f aca="false">IF(S14=0,"–",IF(S14&gt;=$B$8,"🏆 €5k",IF(S14&gt;=$B$7,"✅ €1k","")))</f>
        <v>–</v>
      </c>
      <c r="T20" s="55" t="str">
        <f aca="false">IF(T14=0,"–",IF(T14&gt;=$B$8,"🏆 €5k",IF(T14&gt;=$B$7,"✅ €1k","")))</f>
        <v>–</v>
      </c>
      <c r="U20" s="55" t="str">
        <f aca="false">IF(U14=0,"–",IF(U14&gt;=$B$8,"🏆 €5k",IF(U14&gt;=$B$7,"✅ €1k","")))</f>
        <v>–</v>
      </c>
    </row>
    <row r="22" customFormat="false" ht="15" hidden="false" customHeight="false" outlineLevel="0" collapsed="false">
      <c r="A22" s="56" t="s">
        <v>126</v>
      </c>
    </row>
  </sheetData>
  <mergeCells count="2">
    <mergeCell ref="A1:U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33.75" hidden="false" customHeight="true" outlineLevel="0" collapsed="false">
      <c r="A1" s="32" t="s">
        <v>127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27" t="s">
        <v>128</v>
      </c>
      <c r="B2" s="27"/>
      <c r="C2" s="27"/>
      <c r="D2" s="27"/>
      <c r="E2" s="27"/>
      <c r="F2" s="27"/>
      <c r="G2" s="27"/>
      <c r="H2" s="27"/>
    </row>
    <row r="3" customFormat="false" ht="15" hidden="false" customHeight="false" outlineLevel="0" collapsed="false">
      <c r="A3" s="57" t="s">
        <v>129</v>
      </c>
      <c r="B3" s="57"/>
      <c r="C3" s="57"/>
      <c r="D3" s="57"/>
      <c r="E3" s="57"/>
      <c r="F3" s="57"/>
      <c r="G3" s="57"/>
      <c r="H3" s="57"/>
    </row>
    <row r="5" customFormat="false" ht="15" hidden="false" customHeight="false" outlineLevel="0" collapsed="false">
      <c r="A5" s="17" t="s">
        <v>130</v>
      </c>
      <c r="B5" s="17" t="s">
        <v>131</v>
      </c>
      <c r="C5" s="17" t="s">
        <v>132</v>
      </c>
      <c r="D5" s="17" t="s">
        <v>133</v>
      </c>
      <c r="E5" s="17" t="s">
        <v>134</v>
      </c>
      <c r="F5" s="17" t="s">
        <v>135</v>
      </c>
    </row>
    <row r="6" customFormat="false" ht="15" hidden="false" customHeight="false" outlineLevel="0" collapsed="false">
      <c r="A6" s="38" t="s">
        <v>136</v>
      </c>
      <c r="B6" s="58" t="n">
        <v>1122</v>
      </c>
      <c r="C6" s="58" t="n">
        <v>1702</v>
      </c>
      <c r="D6" s="59" t="n">
        <v>2317</v>
      </c>
      <c r="E6" s="59" t="n">
        <v>3437</v>
      </c>
      <c r="F6" s="59" t="n">
        <v>4597</v>
      </c>
    </row>
    <row r="7" customFormat="false" ht="15" hidden="false" customHeight="false" outlineLevel="0" collapsed="false">
      <c r="A7" s="60" t="s">
        <v>137</v>
      </c>
      <c r="B7" s="61" t="n">
        <v>1069</v>
      </c>
      <c r="C7" s="61" t="n">
        <v>1622</v>
      </c>
      <c r="D7" s="62" t="n">
        <v>2210</v>
      </c>
      <c r="E7" s="62" t="n">
        <v>3275</v>
      </c>
      <c r="F7" s="62" t="n">
        <v>4381</v>
      </c>
    </row>
    <row r="8" customFormat="false" ht="15" hidden="false" customHeight="false" outlineLevel="0" collapsed="false">
      <c r="A8" s="38" t="s">
        <v>138</v>
      </c>
      <c r="B8" s="58" t="n">
        <v>1019</v>
      </c>
      <c r="C8" s="58" t="n">
        <v>1548</v>
      </c>
      <c r="D8" s="59" t="n">
        <v>2109</v>
      </c>
      <c r="E8" s="59" t="n">
        <v>3123</v>
      </c>
      <c r="F8" s="59" t="n">
        <v>4179</v>
      </c>
    </row>
    <row r="9" customFormat="false" ht="15" hidden="false" customHeight="false" outlineLevel="0" collapsed="false">
      <c r="A9" s="38" t="s">
        <v>139</v>
      </c>
      <c r="B9" s="58" t="n">
        <v>928</v>
      </c>
      <c r="C9" s="58" t="n">
        <v>1412</v>
      </c>
      <c r="D9" s="58" t="n">
        <v>1924</v>
      </c>
      <c r="E9" s="59" t="n">
        <v>2845</v>
      </c>
      <c r="F9" s="59" t="n">
        <v>3810</v>
      </c>
    </row>
    <row r="10" customFormat="false" ht="15" hidden="false" customHeight="false" outlineLevel="0" collapsed="false">
      <c r="A10" s="38" t="s">
        <v>140</v>
      </c>
      <c r="B10" s="58" t="n">
        <v>811</v>
      </c>
      <c r="C10" s="58" t="n">
        <v>1237</v>
      </c>
      <c r="D10" s="58" t="n">
        <v>1687</v>
      </c>
      <c r="E10" s="59" t="n">
        <v>2489</v>
      </c>
      <c r="F10" s="59" t="n">
        <v>3335</v>
      </c>
    </row>
    <row r="11" customFormat="false" ht="15" hidden="false" customHeight="false" outlineLevel="0" collapsed="false">
      <c r="A11" s="38" t="s">
        <v>141</v>
      </c>
      <c r="B11" s="63" t="n">
        <v>684</v>
      </c>
      <c r="C11" s="58" t="n">
        <v>1049</v>
      </c>
      <c r="D11" s="58" t="n">
        <v>1431</v>
      </c>
      <c r="E11" s="59" t="n">
        <v>2104</v>
      </c>
      <c r="F11" s="59" t="n">
        <v>2824</v>
      </c>
    </row>
    <row r="13" customFormat="false" ht="15" hidden="false" customHeight="false" outlineLevel="0" collapsed="false">
      <c r="A13" s="64" t="s">
        <v>142</v>
      </c>
      <c r="B13" s="64"/>
      <c r="C13" s="64"/>
      <c r="D13" s="64"/>
      <c r="E13" s="64"/>
      <c r="F13" s="64"/>
      <c r="G13" s="64"/>
      <c r="H13" s="64"/>
    </row>
    <row r="14" customFormat="false" ht="15" hidden="false" customHeight="false" outlineLevel="0" collapsed="false">
      <c r="A14" s="57" t="s">
        <v>143</v>
      </c>
      <c r="B14" s="57"/>
      <c r="C14" s="57"/>
      <c r="D14" s="57"/>
      <c r="E14" s="57"/>
      <c r="F14" s="57"/>
      <c r="G14" s="57"/>
      <c r="H14" s="57"/>
    </row>
    <row r="15" customFormat="false" ht="15" hidden="false" customHeight="false" outlineLevel="0" collapsed="false">
      <c r="A15" s="57" t="s">
        <v>144</v>
      </c>
      <c r="B15" s="57"/>
      <c r="C15" s="57"/>
      <c r="D15" s="57"/>
      <c r="E15" s="57"/>
      <c r="F15" s="57"/>
      <c r="G15" s="57"/>
      <c r="H15" s="57"/>
    </row>
  </sheetData>
  <mergeCells count="6">
    <mergeCell ref="A1:H1"/>
    <mergeCell ref="A2:H2"/>
    <mergeCell ref="A3:H3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2026-05-18T15:11:45Z</dcterms:created>
  <dc:creator>openpyxl</dc:creator>
  <dc:description/>
  <dc:language>en-US</dc:language>
  <cp:lastModifiedBy/>
  <dcterms:modified xsi:type="dcterms:W3CDTF">2026-05-18T15:26:15Z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